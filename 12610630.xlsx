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ohit\CAP776\"/>
    </mc:Choice>
  </mc:AlternateContent>
  <xr:revisionPtr revIDLastSave="0" documentId="13_ncr:1_{172B37E0-624B-46E2-B595-010F5B2E676B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" i="2" l="1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</calcChain>
</file>

<file path=xl/sharedStrings.xml><?xml version="1.0" encoding="utf-8"?>
<sst xmlns="http://schemas.openxmlformats.org/spreadsheetml/2006/main" count="110" uniqueCount="75">
  <si>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</si>
  <si>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</si>
  <si>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</si>
  <si>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</si>
  <si>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</si>
  <si>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</si>
  <si>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</si>
  <si>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</si>
  <si>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</si>
  <si>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</si>
  <si>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</si>
  <si>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</si>
  <si>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</si>
  <si>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</si>
  <si>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</si>
  <si>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</si>
  <si>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</si>
  <si>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</si>
  <si>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</si>
  <si>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</si>
  <si>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</si>
  <si>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</si>
  <si>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</si>
  <si>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</si>
  <si>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</si>
  <si>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</si>
  <si>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</si>
  <si>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</si>
  <si>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</si>
  <si>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</si>
  <si>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</si>
  <si>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</si>
  <si>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</si>
  <si>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</si>
  <si>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</si>
  <si>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</si>
  <si>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</si>
  <si>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</si>
  <si>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</si>
  <si>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</si>
  <si>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</si>
  <si>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</si>
  <si>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</si>
  <si>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</si>
  <si>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</si>
  <si>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</si>
  <si>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</si>
  <si>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</si>
  <si>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</si>
  <si>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</si>
  <si>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</si>
  <si>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</si>
  <si>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</si>
  <si>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Excellent</t>
  </si>
  <si>
    <t>Neutral</t>
  </si>
  <si>
    <t>High</t>
  </si>
  <si>
    <t>Was mostly busy due to guest arriving at our house</t>
  </si>
  <si>
    <t>Very Satisfied</t>
  </si>
  <si>
    <t>Attended my guests and took them for lunch outside</t>
  </si>
  <si>
    <t>Low</t>
  </si>
  <si>
    <t>had my car and 2 bikes serviced and had them cleaned.</t>
  </si>
  <si>
    <t>N.A</t>
  </si>
  <si>
    <t>Very Unsatisfied</t>
  </si>
  <si>
    <t>had lunch with my friend after a long time</t>
  </si>
  <si>
    <t>`300</t>
  </si>
  <si>
    <t>spent 4 straight hours at our warehouse arranging the stock</t>
  </si>
  <si>
    <t>I visited temple and performed voluntary service there.</t>
  </si>
  <si>
    <t>Mohit Thapar</t>
  </si>
  <si>
    <t>MCA D1P2632</t>
  </si>
  <si>
    <t>August</t>
  </si>
  <si>
    <t>Attended guests and visited gaming zone with them</t>
  </si>
  <si>
    <t>Stressed</t>
  </si>
  <si>
    <t xml:space="preserve">A very close friend went abroad for studies </t>
  </si>
  <si>
    <t>Went to a famous temple in our neighbouring city with family</t>
  </si>
  <si>
    <t>Me and my father went to moga city for a business visit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</si>
</sst>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3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67</v>
      </c>
      <c r="C2" s="20"/>
      <c r="D2" s="20"/>
      <c r="E2" s="6" t="s">
        <v>31</v>
      </c>
      <c r="F2" s="20">
        <v>12610630</v>
      </c>
      <c r="G2" s="20"/>
    </row>
    <row r="3" spans="1:14" ht="19.5" customHeight="1" x14ac:dyDescent="0.3">
      <c r="A3" s="6" t="s">
        <v>32</v>
      </c>
      <c r="B3" s="20" t="s">
        <v>68</v>
      </c>
      <c r="C3" s="20"/>
      <c r="D3" s="20"/>
      <c r="E3" s="6" t="s">
        <v>33</v>
      </c>
      <c r="F3" s="20" t="s">
        <v>69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46253</v>
      </c>
      <c r="B6" s="9">
        <v>360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12" si="0">IF(SUM(B6:F6,H6)=0,"",SUM(B6:F6,H6))</f>
        <v>1020</v>
      </c>
      <c r="J6" s="10">
        <f t="shared" ref="J6:J12" si="1">IF(I6="","",1440-I6)</f>
        <v>420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160</v>
      </c>
      <c r="E7" s="14">
        <v>0</v>
      </c>
      <c r="F7" s="14">
        <v>0</v>
      </c>
      <c r="G7" s="14">
        <v>0</v>
      </c>
      <c r="H7" s="14">
        <v>480</v>
      </c>
      <c r="I7" s="15">
        <f t="shared" si="0"/>
        <v>1060</v>
      </c>
      <c r="J7" s="15">
        <f t="shared" si="1"/>
        <v>380</v>
      </c>
      <c r="K7" s="16" t="s">
        <v>53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46255</v>
      </c>
      <c r="B8" s="14">
        <v>540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54</v>
      </c>
      <c r="L8" s="16" t="s">
        <v>54</v>
      </c>
      <c r="M8" s="16" t="s">
        <v>59</v>
      </c>
      <c r="N8" s="17" t="s">
        <v>60</v>
      </c>
    </row>
    <row r="9" spans="1:14" x14ac:dyDescent="0.3">
      <c r="A9" s="13">
        <v>46256</v>
      </c>
      <c r="B9" s="14">
        <v>360</v>
      </c>
      <c r="C9" s="14">
        <v>120</v>
      </c>
      <c r="D9" s="14">
        <v>200</v>
      </c>
      <c r="E9" s="14">
        <v>30</v>
      </c>
      <c r="F9" s="14">
        <v>0</v>
      </c>
      <c r="G9" s="14">
        <v>0</v>
      </c>
      <c r="H9" s="14">
        <v>360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50</v>
      </c>
      <c r="M9" s="16" t="s">
        <v>55</v>
      </c>
      <c r="N9" s="17" t="s">
        <v>61</v>
      </c>
    </row>
    <row r="10" spans="1:14" ht="28.8" x14ac:dyDescent="0.3">
      <c r="A10" s="13">
        <v>46257</v>
      </c>
      <c r="B10" s="14">
        <v>320</v>
      </c>
      <c r="C10" s="14">
        <v>20</v>
      </c>
      <c r="D10" s="14">
        <v>120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790</v>
      </c>
      <c r="J10" s="15">
        <f t="shared" si="1"/>
        <v>650</v>
      </c>
      <c r="K10" s="16" t="s">
        <v>59</v>
      </c>
      <c r="L10" s="16" t="s">
        <v>62</v>
      </c>
      <c r="M10" s="16" t="s">
        <v>51</v>
      </c>
      <c r="N10" s="17" t="s">
        <v>63</v>
      </c>
    </row>
    <row r="11" spans="1:14" ht="28.8" x14ac:dyDescent="0.3">
      <c r="A11" s="13">
        <v>46258</v>
      </c>
      <c r="B11" s="14" t="s">
        <v>64</v>
      </c>
      <c r="C11" s="14">
        <v>40</v>
      </c>
      <c r="D11" s="14">
        <v>40</v>
      </c>
      <c r="E11" s="14">
        <v>20</v>
      </c>
      <c r="F11" s="14">
        <v>100</v>
      </c>
      <c r="G11" s="14">
        <v>2</v>
      </c>
      <c r="H11" s="14">
        <v>240</v>
      </c>
      <c r="I11" s="15">
        <f t="shared" si="0"/>
        <v>440</v>
      </c>
      <c r="J11" s="15">
        <f t="shared" si="1"/>
        <v>1000</v>
      </c>
      <c r="K11" s="16" t="s">
        <v>53</v>
      </c>
      <c r="L11" s="16" t="s">
        <v>57</v>
      </c>
      <c r="M11" s="16" t="s">
        <v>55</v>
      </c>
      <c r="N11" s="17" t="s">
        <v>65</v>
      </c>
    </row>
    <row r="12" spans="1:14" ht="28.8" x14ac:dyDescent="0.3">
      <c r="A12" s="13">
        <v>46259</v>
      </c>
      <c r="B12" s="14">
        <v>300</v>
      </c>
      <c r="C12" s="14">
        <v>30</v>
      </c>
      <c r="D12" s="14">
        <v>60</v>
      </c>
      <c r="E12" s="14">
        <v>0</v>
      </c>
      <c r="F12" s="14">
        <v>150</v>
      </c>
      <c r="G12" s="14">
        <v>3</v>
      </c>
      <c r="H12" s="14">
        <v>200</v>
      </c>
      <c r="I12" s="15">
        <f t="shared" si="0"/>
        <v>740</v>
      </c>
      <c r="J12" s="15">
        <f t="shared" si="1"/>
        <v>700</v>
      </c>
      <c r="K12" s="16" t="s">
        <v>49</v>
      </c>
      <c r="L12" s="16" t="s">
        <v>54</v>
      </c>
      <c r="M12" s="16" t="s">
        <v>51</v>
      </c>
      <c r="N12" s="17" t="s">
        <v>66</v>
      </c>
    </row>
    <row r="13" spans="1:14" x14ac:dyDescent="0.3">
      <c r="A13" s="13">
        <v>46260</v>
      </c>
      <c r="B13" s="14">
        <v>240</v>
      </c>
      <c r="C13" s="14">
        <v>0</v>
      </c>
      <c r="D13" s="14">
        <v>45</v>
      </c>
      <c r="E13" s="14">
        <v>0</v>
      </c>
      <c r="F13" s="14">
        <v>300</v>
      </c>
      <c r="G13" s="14">
        <v>5</v>
      </c>
      <c r="H13" s="14">
        <v>120</v>
      </c>
      <c r="I13" s="15">
        <f t="shared" ref="I13:I69" si="2">IF(SUM(B13:F13,H13)=0,"",SUM(B13:F13,H13))</f>
        <v>705</v>
      </c>
      <c r="J13" s="15">
        <f t="shared" ref="J13:J69" si="3">IF(I13="","",1440-I13)</f>
        <v>735</v>
      </c>
      <c r="K13" s="16" t="s">
        <v>53</v>
      </c>
      <c r="L13" s="16" t="s">
        <v>57</v>
      </c>
      <c r="M13" s="16" t="s">
        <v>51</v>
      </c>
      <c r="N13" s="17" t="s">
        <v>61</v>
      </c>
    </row>
    <row r="14" spans="1:14" ht="28.8" x14ac:dyDescent="0.3">
      <c r="A14" s="13">
        <v>46261</v>
      </c>
      <c r="B14" s="14">
        <v>360</v>
      </c>
      <c r="C14" s="14">
        <v>30</v>
      </c>
      <c r="D14" s="14">
        <v>60</v>
      </c>
      <c r="E14" s="14">
        <v>30</v>
      </c>
      <c r="F14" s="14">
        <v>200</v>
      </c>
      <c r="G14" s="14">
        <v>4</v>
      </c>
      <c r="H14" s="14">
        <v>180</v>
      </c>
      <c r="I14" s="15">
        <f t="shared" si="2"/>
        <v>860</v>
      </c>
      <c r="J14" s="15">
        <f t="shared" si="3"/>
        <v>580</v>
      </c>
      <c r="K14" s="16" t="s">
        <v>49</v>
      </c>
      <c r="L14" s="16" t="s">
        <v>50</v>
      </c>
      <c r="M14" s="16" t="s">
        <v>51</v>
      </c>
      <c r="N14" s="17" t="s">
        <v>70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120</v>
      </c>
      <c r="E15" s="14">
        <v>0</v>
      </c>
      <c r="F15" s="14">
        <v>150</v>
      </c>
      <c r="G15" s="14">
        <v>3</v>
      </c>
      <c r="H15" s="14">
        <v>240</v>
      </c>
      <c r="I15" s="15">
        <f t="shared" si="2"/>
        <v>1050</v>
      </c>
      <c r="J15" s="15">
        <f t="shared" si="3"/>
        <v>390</v>
      </c>
      <c r="K15" s="16" t="s">
        <v>71</v>
      </c>
      <c r="L15" s="16" t="s">
        <v>54</v>
      </c>
      <c r="M15" s="16" t="s">
        <v>59</v>
      </c>
      <c r="N15" s="17" t="s">
        <v>72</v>
      </c>
    </row>
    <row r="16" spans="1:14" x14ac:dyDescent="0.3">
      <c r="A16" s="13">
        <v>46263</v>
      </c>
      <c r="B16" s="14">
        <v>420</v>
      </c>
      <c r="C16" s="14">
        <v>0</v>
      </c>
      <c r="D16" s="14">
        <v>60</v>
      </c>
      <c r="E16" s="14">
        <v>0</v>
      </c>
      <c r="F16" s="14">
        <v>0</v>
      </c>
      <c r="G16" s="14">
        <v>0</v>
      </c>
      <c r="H16" s="14">
        <v>300</v>
      </c>
      <c r="I16" s="15">
        <f t="shared" si="2"/>
        <v>780</v>
      </c>
      <c r="J16" s="15">
        <f t="shared" si="3"/>
        <v>660</v>
      </c>
      <c r="K16" s="16" t="s">
        <v>49</v>
      </c>
      <c r="L16" s="16" t="s">
        <v>54</v>
      </c>
      <c r="M16" s="16" t="s">
        <v>59</v>
      </c>
      <c r="N16" s="17" t="s">
        <v>61</v>
      </c>
    </row>
    <row r="17" spans="1:14" ht="28.8" x14ac:dyDescent="0.3">
      <c r="A17" s="13">
        <v>46264</v>
      </c>
      <c r="B17" s="14">
        <v>420</v>
      </c>
      <c r="C17" s="14">
        <v>0</v>
      </c>
      <c r="D17" s="14">
        <v>240</v>
      </c>
      <c r="E17" s="14">
        <v>0</v>
      </c>
      <c r="F17" s="14">
        <v>0</v>
      </c>
      <c r="G17" s="14">
        <v>0</v>
      </c>
      <c r="H17" s="14">
        <v>240</v>
      </c>
      <c r="I17" s="15">
        <f t="shared" si="2"/>
        <v>900</v>
      </c>
      <c r="J17" s="15">
        <f t="shared" si="3"/>
        <v>540</v>
      </c>
      <c r="K17" s="16" t="s">
        <v>49</v>
      </c>
      <c r="L17" s="16" t="s">
        <v>50</v>
      </c>
      <c r="M17" s="16" t="s">
        <v>55</v>
      </c>
      <c r="N17" s="17" t="s">
        <v>73</v>
      </c>
    </row>
    <row r="18" spans="1:14" x14ac:dyDescent="0.3">
      <c r="A18" s="13">
        <v>46265</v>
      </c>
      <c r="B18" s="14">
        <v>300</v>
      </c>
      <c r="C18" s="14">
        <v>0</v>
      </c>
      <c r="D18" s="14">
        <v>120</v>
      </c>
      <c r="E18" s="14">
        <v>20</v>
      </c>
      <c r="F18" s="14">
        <v>150</v>
      </c>
      <c r="G18" s="14">
        <v>3</v>
      </c>
      <c r="H18" s="14">
        <v>300</v>
      </c>
      <c r="I18" s="15">
        <f t="shared" si="2"/>
        <v>890</v>
      </c>
      <c r="J18" s="15">
        <f t="shared" si="3"/>
        <v>550</v>
      </c>
      <c r="K18" s="16" t="s">
        <v>54</v>
      </c>
      <c r="L18" s="16" t="s">
        <v>54</v>
      </c>
      <c r="M18" s="16" t="s">
        <v>51</v>
      </c>
      <c r="N18" s="17" t="s">
        <v>61</v>
      </c>
    </row>
    <row r="19" spans="1:14" ht="28.8" x14ac:dyDescent="0.3">
      <c r="A19" s="13">
        <v>46266</v>
      </c>
      <c r="B19" s="14">
        <v>480</v>
      </c>
      <c r="C19" s="14">
        <v>20</v>
      </c>
      <c r="D19" s="14">
        <v>50</v>
      </c>
      <c r="E19" s="14">
        <v>0</v>
      </c>
      <c r="F19" s="14">
        <v>200</v>
      </c>
      <c r="G19" s="14">
        <v>4</v>
      </c>
      <c r="H19" s="14">
        <v>240</v>
      </c>
      <c r="I19" s="15">
        <f t="shared" si="2"/>
        <v>990</v>
      </c>
      <c r="J19" s="15">
        <f t="shared" si="3"/>
        <v>450</v>
      </c>
      <c r="K19" s="16" t="s">
        <v>49</v>
      </c>
      <c r="L19" s="16" t="s">
        <v>50</v>
      </c>
      <c r="M19" s="16" t="s">
        <v>51</v>
      </c>
      <c r="N19" s="17" t="s">
        <v>74</v>
      </c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2"/>
        <v/>
      </c>
      <c r="J20" s="15" t="str">
        <f t="shared" si="3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2"/>
        <v/>
      </c>
      <c r="J21" s="15" t="str">
        <f t="shared" si="3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2"/>
        <v/>
      </c>
      <c r="J22" s="15" t="str">
        <f t="shared" si="3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2"/>
        <v/>
      </c>
      <c r="J23" s="15" t="str">
        <f t="shared" si="3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2"/>
        <v/>
      </c>
      <c r="J24" s="15" t="str">
        <f t="shared" si="3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2"/>
        <v/>
      </c>
      <c r="J25" s="15" t="str">
        <f t="shared" si="3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2"/>
        <v/>
      </c>
      <c r="J26" s="15" t="str">
        <f t="shared" si="3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2"/>
        <v/>
      </c>
      <c r="J27" s="15" t="str">
        <f t="shared" si="3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2"/>
        <v/>
      </c>
      <c r="J28" s="15" t="str">
        <f t="shared" si="3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2"/>
        <v/>
      </c>
      <c r="J29" s="15" t="str">
        <f t="shared" si="3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2"/>
        <v/>
      </c>
      <c r="J30" s="15" t="str">
        <f t="shared" si="3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2"/>
        <v/>
      </c>
      <c r="J31" s="15" t="str">
        <f t="shared" si="3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2"/>
        <v/>
      </c>
      <c r="J32" s="15" t="str">
        <f t="shared" si="3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3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3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3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3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3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3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3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3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3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13:J401">
    <cfRule type="cellIs" dxfId="2" priority="4" operator="lessThan">
      <formula>0</formula>
    </cfRule>
  </conditionalFormatting>
  <conditionalFormatting sqref="J6:J7 J9:J12">
    <cfRule type="cellIs" dxfId="1" priority="2" operator="lessThan">
      <formula>0</formula>
    </cfRule>
  </conditionalFormatting>
  <conditionalFormatting sqref="J8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mohitthapar775@gmail.com</cp:lastModifiedBy>
  <cp:revision>0</cp:revision>
  <dcterms:created xsi:type="dcterms:W3CDTF">2026-07-24T11:49:30Z</dcterms:created>
  <dcterms:modified xsi:type="dcterms:W3CDTF">2026-09-02T14:19:32Z</dcterms:modified>
  <dc:language>en-US</dc:language>
</cp:coreProperties>
</file>